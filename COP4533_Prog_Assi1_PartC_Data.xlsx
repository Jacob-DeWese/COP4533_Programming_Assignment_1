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ar\OneDrive\Desktop\"/>
    </mc:Choice>
  </mc:AlternateContent>
  <xr:revisionPtr revIDLastSave="0" documentId="8_{6243A9A3-5986-48B6-8F58-D20E89CF2EEE}" xr6:coauthVersionLast="47" xr6:coauthVersionMax="47" xr10:uidLastSave="{00000000-0000-0000-0000-000000000000}"/>
  <bookViews>
    <workbookView xWindow="-110" yWindow="-110" windowWidth="25820" windowHeight="15500" xr2:uid="{B55E389E-9320-42C2-8080-7303212042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0" i="1" l="1"/>
  <c r="I29" i="1"/>
  <c r="I28" i="1"/>
  <c r="I27" i="1"/>
  <c r="I26" i="1"/>
  <c r="I25" i="1"/>
  <c r="I24" i="1"/>
  <c r="I23" i="1"/>
  <c r="I22" i="1"/>
  <c r="I6" i="1"/>
  <c r="I7" i="1"/>
  <c r="I8" i="1"/>
  <c r="I9" i="1"/>
  <c r="I10" i="1"/>
  <c r="I11" i="1"/>
  <c r="I4" i="1"/>
  <c r="I5" i="1"/>
  <c r="I3" i="1"/>
</calcChain>
</file>

<file path=xl/sharedStrings.xml><?xml version="1.0" encoding="utf-8"?>
<sst xmlns="http://schemas.openxmlformats.org/spreadsheetml/2006/main" count="14" uniqueCount="8">
  <si>
    <t>Matcher Execution Time</t>
  </si>
  <si>
    <t>Num Hospitals</t>
  </si>
  <si>
    <t>Num Students</t>
  </si>
  <si>
    <t>Execution Time (ns) - Test 1</t>
  </si>
  <si>
    <t>Execution Time (ns) - Test 2</t>
  </si>
  <si>
    <t>Execution Time (ns) - Test 3</t>
  </si>
  <si>
    <t>Execution Time (ns) - Average</t>
  </si>
  <si>
    <t>Verifier Execution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</si>
</sst>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/>
    <xf numFmtId="0" fontId="0" fillId="0" borderId="1" xfId="0" applyBorder="1"/>
    <xf numFmtId="169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Matcher Execution Time vs Number of Hospitals/Students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Execution Time (ns) - Average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Sheet1!$A$3:$A$11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</c:numCache>
            </c:numRef>
          </c:xVal>
          <c:yVal>
            <c:numRef>
              <c:f>Sheet1!$I$3:$I$11</c:f>
              <c:numCache>
                <c:formatCode>0.0</c:formatCode>
                <c:ptCount val="9"/>
                <c:pt idx="0">
                  <c:v>9633.3333333333339</c:v>
                </c:pt>
                <c:pt idx="1">
                  <c:v>13333.333333333334</c:v>
                </c:pt>
                <c:pt idx="2">
                  <c:v>14933.333333333334</c:v>
                </c:pt>
                <c:pt idx="3">
                  <c:v>18733.333333333332</c:v>
                </c:pt>
                <c:pt idx="4">
                  <c:v>28500</c:v>
                </c:pt>
                <c:pt idx="5">
                  <c:v>45166.666666666664</c:v>
                </c:pt>
                <c:pt idx="6">
                  <c:v>77133.333333333328</c:v>
                </c:pt>
                <c:pt idx="7">
                  <c:v>146633.33333333334</c:v>
                </c:pt>
                <c:pt idx="8">
                  <c:v>308366.66666666669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048-45E3-B5FB-E9A2E4501D33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Sheet1!$A$3:$A$11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</c:numCache>
            </c:numRef>
          </c:xVal>
          <c:yVal>
            <c:numRef>
              <c:f>Sheet1!$J$3:$J$11</c:f>
              <c:numCache>
                <c:formatCode>0.0</c:formatCode>
                <c:ptCount val="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048-45E3-B5FB-E9A2E4501D33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618369439"/>
        <c:axId val="1618366079"/>
      </c:scatterChart>
      <c:valAx>
        <c:axId val="1618369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Hospitals/Students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366079"/>
        <c:crosses val="autoZero"/>
        <c:crossBetween val="midCat"/>
      </c:valAx>
      <c:valAx>
        <c:axId val="161836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369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Verifier</a:t>
            </a:r>
            <a:r>
              <a:rPr lang="en-US" baseline="0"/>
              <a:t> Execution Time vs Number of Hospitals/Students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Execution Time (ns) - Average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Sheet1!$A$22:$A$30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</c:numCache>
            </c:numRef>
          </c:xVal>
          <c:yVal>
            <c:numRef>
              <c:f>Sheet1!$I$22:$I$30</c:f>
              <c:numCache>
                <c:formatCode>0.0</c:formatCode>
                <c:ptCount val="9"/>
                <c:pt idx="0">
                  <c:v>10433.333333333334</c:v>
                </c:pt>
                <c:pt idx="1">
                  <c:v>14166.666666666666</c:v>
                </c:pt>
                <c:pt idx="2">
                  <c:v>18000</c:v>
                </c:pt>
                <c:pt idx="3">
                  <c:v>27433.333333333332</c:v>
                </c:pt>
                <c:pt idx="4">
                  <c:v>97233.333333333328</c:v>
                </c:pt>
                <c:pt idx="5">
                  <c:v>485833.33333333331</c:v>
                </c:pt>
                <c:pt idx="6">
                  <c:v>2848066.6666666665</c:v>
                </c:pt>
                <c:pt idx="7">
                  <c:v>14428733.333333334</c:v>
                </c:pt>
                <c:pt idx="8">
                  <c:v>109900766.66666667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36-4798-B087-BF0735E0DF1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Sheet1!$A$22:$A$30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</c:numCache>
            </c:numRef>
          </c:xVal>
          <c:yVal>
            <c:numRef>
              <c:f>Sheet1!$J$22:$J$30</c:f>
              <c:numCache>
                <c:formatCode>0.0</c:formatCode>
                <c:ptCount val="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36-4798-B087-BF0735E0DF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7547999"/>
        <c:axId val="1857546079"/>
      </c:scatterChart>
      <c:valAx>
        <c:axId val="1857547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Hospitals/Students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7546079"/>
        <c:crosses val="autoZero"/>
        <c:crossBetween val="midCat"/>
      </c:valAx>
      <c:valAx>
        <c:axId val="185754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75479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3175</xdr:colOff>
      <xdr:row>0</xdr:row>
      <xdr:rowOff>19050</xdr:rowOff>
    </xdr:from>
    <xdr:to>
      <xdr:col>18</xdr:col>
      <xdr:colOff>307975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40AAB3-3B9A-565F-E084-00E5CCB062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9525</xdr:colOff>
      <xdr:row>19</xdr:row>
      <xdr:rowOff>19050</xdr:rowOff>
    </xdr:from>
    <xdr:to>
      <xdr:col>18</xdr:col>
      <xdr:colOff>314325</xdr:colOff>
      <xdr:row>34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572CD82-1066-0DC9-DEC9-C5B13B9D47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2389B-4B60-4B5D-8AB3-CC76C6F6FCB3}">
  <dimension ref="A1:J30"/>
  <sheetViews>
    <sheetView tabSelected="1" workbookViewId="0">
      <selection activeCell="X20" sqref="X20"/>
    </sheetView>
  </sheetViews>
  <sheetFormatPr defaultRowHeight="14.5" x14ac:dyDescent="0.35"/>
  <cols>
    <col min="1" max="1" width="12.6328125" bestFit="1" customWidth="1"/>
    <col min="2" max="2" width="12.1796875" bestFit="1" customWidth="1"/>
    <col min="3" max="4" width="12.54296875" customWidth="1"/>
    <col min="5" max="5" width="15.7265625" customWidth="1"/>
    <col min="6" max="6" width="8.36328125" customWidth="1"/>
    <col min="8" max="8" width="15.08984375" customWidth="1"/>
    <col min="9" max="9" width="8.7265625" customWidth="1"/>
    <col min="10" max="10" width="16.7265625" customWidth="1"/>
  </cols>
  <sheetData>
    <row r="1" spans="1:10" x14ac:dyDescent="0.3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x14ac:dyDescent="0.35">
      <c r="A2" s="2" t="s">
        <v>1</v>
      </c>
      <c r="B2" s="2" t="s">
        <v>2</v>
      </c>
      <c r="C2" s="1" t="s">
        <v>3</v>
      </c>
      <c r="D2" s="1"/>
      <c r="E2" s="1" t="s">
        <v>4</v>
      </c>
      <c r="F2" s="1"/>
      <c r="G2" s="1" t="s">
        <v>5</v>
      </c>
      <c r="H2" s="1"/>
      <c r="I2" s="1" t="s">
        <v>6</v>
      </c>
      <c r="J2" s="1"/>
    </row>
    <row r="3" spans="1:10" x14ac:dyDescent="0.35">
      <c r="A3" s="3">
        <v>1</v>
      </c>
      <c r="B3" s="3">
        <v>1</v>
      </c>
      <c r="C3" s="1">
        <v>8400</v>
      </c>
      <c r="D3" s="1"/>
      <c r="E3" s="1">
        <v>10100</v>
      </c>
      <c r="F3" s="1"/>
      <c r="G3" s="1">
        <v>10400</v>
      </c>
      <c r="H3" s="1"/>
      <c r="I3" s="4">
        <f>(SUM(C3:H3))/3</f>
        <v>9633.3333333333339</v>
      </c>
      <c r="J3" s="4"/>
    </row>
    <row r="4" spans="1:10" x14ac:dyDescent="0.35">
      <c r="A4" s="3">
        <v>2</v>
      </c>
      <c r="B4" s="3">
        <v>2</v>
      </c>
      <c r="C4" s="1">
        <v>11200</v>
      </c>
      <c r="D4" s="1"/>
      <c r="E4" s="1">
        <v>14200</v>
      </c>
      <c r="F4" s="1"/>
      <c r="G4" s="1">
        <v>14600</v>
      </c>
      <c r="H4" s="1"/>
      <c r="I4" s="4">
        <f t="shared" ref="I4:I5" si="0">(SUM(C4:H4))/3</f>
        <v>13333.333333333334</v>
      </c>
      <c r="J4" s="4"/>
    </row>
    <row r="5" spans="1:10" x14ac:dyDescent="0.35">
      <c r="A5" s="3">
        <v>4</v>
      </c>
      <c r="B5" s="3">
        <v>4</v>
      </c>
      <c r="C5" s="1">
        <v>13800</v>
      </c>
      <c r="D5" s="1"/>
      <c r="E5" s="1">
        <v>12900</v>
      </c>
      <c r="F5" s="1"/>
      <c r="G5" s="1">
        <v>18100</v>
      </c>
      <c r="H5" s="1"/>
      <c r="I5" s="4">
        <f t="shared" si="0"/>
        <v>14933.333333333334</v>
      </c>
      <c r="J5" s="4"/>
    </row>
    <row r="6" spans="1:10" x14ac:dyDescent="0.35">
      <c r="A6" s="3">
        <v>8</v>
      </c>
      <c r="B6" s="3">
        <v>8</v>
      </c>
      <c r="C6" s="1">
        <v>18500</v>
      </c>
      <c r="D6" s="1"/>
      <c r="E6" s="1">
        <v>18900</v>
      </c>
      <c r="F6" s="1"/>
      <c r="G6" s="1">
        <v>18800</v>
      </c>
      <c r="H6" s="1"/>
      <c r="I6" s="4">
        <f t="shared" ref="I6:I11" si="1">(SUM(C6:H6))/3</f>
        <v>18733.333333333332</v>
      </c>
      <c r="J6" s="4"/>
    </row>
    <row r="7" spans="1:10" x14ac:dyDescent="0.35">
      <c r="A7" s="3">
        <v>16</v>
      </c>
      <c r="B7" s="3">
        <v>16</v>
      </c>
      <c r="C7" s="1">
        <v>36700</v>
      </c>
      <c r="D7" s="1"/>
      <c r="E7" s="1">
        <v>22500</v>
      </c>
      <c r="F7" s="1"/>
      <c r="G7" s="1">
        <v>26300</v>
      </c>
      <c r="H7" s="1"/>
      <c r="I7" s="4">
        <f t="shared" si="1"/>
        <v>28500</v>
      </c>
      <c r="J7" s="4"/>
    </row>
    <row r="8" spans="1:10" x14ac:dyDescent="0.35">
      <c r="A8" s="3">
        <v>32</v>
      </c>
      <c r="B8" s="3">
        <v>32</v>
      </c>
      <c r="C8" s="1">
        <v>44300</v>
      </c>
      <c r="D8" s="1"/>
      <c r="E8" s="1">
        <v>44300</v>
      </c>
      <c r="F8" s="1"/>
      <c r="G8" s="1">
        <v>46900</v>
      </c>
      <c r="H8" s="1"/>
      <c r="I8" s="4">
        <f t="shared" si="1"/>
        <v>45166.666666666664</v>
      </c>
      <c r="J8" s="4"/>
    </row>
    <row r="9" spans="1:10" x14ac:dyDescent="0.35">
      <c r="A9" s="3">
        <v>64</v>
      </c>
      <c r="B9" s="3">
        <v>64</v>
      </c>
      <c r="C9" s="1">
        <v>89100</v>
      </c>
      <c r="D9" s="1"/>
      <c r="E9" s="1">
        <v>78100</v>
      </c>
      <c r="F9" s="1"/>
      <c r="G9" s="1">
        <v>64200</v>
      </c>
      <c r="H9" s="1"/>
      <c r="I9" s="4">
        <f t="shared" si="1"/>
        <v>77133.333333333328</v>
      </c>
      <c r="J9" s="4"/>
    </row>
    <row r="10" spans="1:10" x14ac:dyDescent="0.35">
      <c r="A10" s="3">
        <v>128</v>
      </c>
      <c r="B10" s="3">
        <v>128</v>
      </c>
      <c r="C10" s="1">
        <v>143500</v>
      </c>
      <c r="D10" s="1"/>
      <c r="E10" s="1">
        <v>149900</v>
      </c>
      <c r="F10" s="1"/>
      <c r="G10" s="1">
        <v>146500</v>
      </c>
      <c r="H10" s="1"/>
      <c r="I10" s="4">
        <f t="shared" si="1"/>
        <v>146633.33333333334</v>
      </c>
      <c r="J10" s="4"/>
    </row>
    <row r="11" spans="1:10" x14ac:dyDescent="0.35">
      <c r="A11" s="3">
        <v>256</v>
      </c>
      <c r="B11" s="3">
        <v>256</v>
      </c>
      <c r="C11" s="1">
        <v>327800</v>
      </c>
      <c r="D11" s="1"/>
      <c r="E11" s="1">
        <v>285500</v>
      </c>
      <c r="F11" s="1"/>
      <c r="G11" s="1">
        <v>311800</v>
      </c>
      <c r="H11" s="1"/>
      <c r="I11" s="4">
        <f t="shared" si="1"/>
        <v>308366.66666666669</v>
      </c>
      <c r="J11" s="4"/>
    </row>
    <row r="20" spans="1:10" x14ac:dyDescent="0.35">
      <c r="A20" s="5" t="s">
        <v>7</v>
      </c>
      <c r="B20" s="5"/>
      <c r="C20" s="5"/>
      <c r="D20" s="5"/>
      <c r="E20" s="5"/>
      <c r="F20" s="5"/>
      <c r="G20" s="5"/>
      <c r="H20" s="5"/>
      <c r="I20" s="5"/>
      <c r="J20" s="5"/>
    </row>
    <row r="21" spans="1:10" x14ac:dyDescent="0.35">
      <c r="A21" s="2" t="s">
        <v>1</v>
      </c>
      <c r="B21" s="2" t="s">
        <v>2</v>
      </c>
      <c r="C21" s="1" t="s">
        <v>3</v>
      </c>
      <c r="D21" s="1"/>
      <c r="E21" s="1" t="s">
        <v>4</v>
      </c>
      <c r="F21" s="1"/>
      <c r="G21" s="1" t="s">
        <v>5</v>
      </c>
      <c r="H21" s="1"/>
      <c r="I21" s="1" t="s">
        <v>6</v>
      </c>
      <c r="J21" s="1"/>
    </row>
    <row r="22" spans="1:10" x14ac:dyDescent="0.35">
      <c r="A22" s="3">
        <v>1</v>
      </c>
      <c r="B22" s="3">
        <v>1</v>
      </c>
      <c r="C22" s="1">
        <v>9000</v>
      </c>
      <c r="D22" s="1"/>
      <c r="E22" s="1">
        <v>12300</v>
      </c>
      <c r="F22" s="1"/>
      <c r="G22" s="1">
        <v>10000</v>
      </c>
      <c r="H22" s="1"/>
      <c r="I22" s="4">
        <f>(SUM(C22:H22))/3</f>
        <v>10433.333333333334</v>
      </c>
      <c r="J22" s="4"/>
    </row>
    <row r="23" spans="1:10" x14ac:dyDescent="0.35">
      <c r="A23" s="3">
        <v>2</v>
      </c>
      <c r="B23" s="3">
        <v>2</v>
      </c>
      <c r="C23" s="1">
        <v>11900</v>
      </c>
      <c r="D23" s="1"/>
      <c r="E23" s="1">
        <v>9900</v>
      </c>
      <c r="F23" s="1"/>
      <c r="G23" s="1">
        <v>20700</v>
      </c>
      <c r="H23" s="1"/>
      <c r="I23" s="4">
        <f t="shared" ref="I23:I30" si="2">(SUM(C23:H23))/3</f>
        <v>14166.666666666666</v>
      </c>
      <c r="J23" s="4"/>
    </row>
    <row r="24" spans="1:10" x14ac:dyDescent="0.35">
      <c r="A24" s="3">
        <v>4</v>
      </c>
      <c r="B24" s="3">
        <v>4</v>
      </c>
      <c r="C24" s="1">
        <v>16700</v>
      </c>
      <c r="D24" s="1"/>
      <c r="E24" s="1">
        <v>13300</v>
      </c>
      <c r="F24" s="1"/>
      <c r="G24" s="1">
        <v>24000</v>
      </c>
      <c r="H24" s="1"/>
      <c r="I24" s="4">
        <f t="shared" si="2"/>
        <v>18000</v>
      </c>
      <c r="J24" s="4"/>
    </row>
    <row r="25" spans="1:10" x14ac:dyDescent="0.35">
      <c r="A25" s="3">
        <v>8</v>
      </c>
      <c r="B25" s="3">
        <v>8</v>
      </c>
      <c r="C25" s="1">
        <v>26500</v>
      </c>
      <c r="D25" s="1"/>
      <c r="E25" s="1">
        <v>29600</v>
      </c>
      <c r="F25" s="1"/>
      <c r="G25" s="1">
        <v>26200</v>
      </c>
      <c r="H25" s="1"/>
      <c r="I25" s="4">
        <f t="shared" si="2"/>
        <v>27433.333333333332</v>
      </c>
      <c r="J25" s="4"/>
    </row>
    <row r="26" spans="1:10" x14ac:dyDescent="0.35">
      <c r="A26" s="3">
        <v>16</v>
      </c>
      <c r="B26" s="3">
        <v>16</v>
      </c>
      <c r="C26" s="1">
        <v>96600</v>
      </c>
      <c r="D26" s="1"/>
      <c r="E26" s="1">
        <v>97600</v>
      </c>
      <c r="F26" s="1"/>
      <c r="G26" s="1">
        <v>97500</v>
      </c>
      <c r="H26" s="1"/>
      <c r="I26" s="4">
        <f t="shared" si="2"/>
        <v>97233.333333333328</v>
      </c>
      <c r="J26" s="4"/>
    </row>
    <row r="27" spans="1:10" x14ac:dyDescent="0.35">
      <c r="A27" s="3">
        <v>32</v>
      </c>
      <c r="B27" s="3">
        <v>32</v>
      </c>
      <c r="C27" s="1">
        <v>313100</v>
      </c>
      <c r="D27" s="1"/>
      <c r="E27" s="1">
        <v>575400</v>
      </c>
      <c r="F27" s="1"/>
      <c r="G27" s="1">
        <v>569000</v>
      </c>
      <c r="H27" s="1"/>
      <c r="I27" s="4">
        <f t="shared" si="2"/>
        <v>485833.33333333331</v>
      </c>
      <c r="J27" s="4"/>
    </row>
    <row r="28" spans="1:10" x14ac:dyDescent="0.35">
      <c r="A28" s="3">
        <v>64</v>
      </c>
      <c r="B28" s="3">
        <v>64</v>
      </c>
      <c r="C28" s="1">
        <v>3033900</v>
      </c>
      <c r="D28" s="1"/>
      <c r="E28" s="1">
        <v>3074900</v>
      </c>
      <c r="F28" s="1"/>
      <c r="G28" s="1">
        <v>2435400</v>
      </c>
      <c r="H28" s="1"/>
      <c r="I28" s="4">
        <f t="shared" si="2"/>
        <v>2848066.6666666665</v>
      </c>
      <c r="J28" s="4"/>
    </row>
    <row r="29" spans="1:10" x14ac:dyDescent="0.35">
      <c r="A29" s="3">
        <v>128</v>
      </c>
      <c r="B29" s="3">
        <v>128</v>
      </c>
      <c r="C29" s="1">
        <v>14478900</v>
      </c>
      <c r="D29" s="1"/>
      <c r="E29" s="1">
        <v>14640700</v>
      </c>
      <c r="F29" s="1"/>
      <c r="G29" s="1">
        <v>14166600</v>
      </c>
      <c r="H29" s="1"/>
      <c r="I29" s="4">
        <f t="shared" si="2"/>
        <v>14428733.333333334</v>
      </c>
      <c r="J29" s="4"/>
    </row>
    <row r="30" spans="1:10" x14ac:dyDescent="0.35">
      <c r="A30" s="3">
        <v>256</v>
      </c>
      <c r="B30" s="3">
        <v>256</v>
      </c>
      <c r="C30" s="1">
        <v>110097100</v>
      </c>
      <c r="D30" s="1"/>
      <c r="E30" s="1">
        <v>109584400</v>
      </c>
      <c r="F30" s="1"/>
      <c r="G30" s="1">
        <v>110020800</v>
      </c>
      <c r="H30" s="1"/>
      <c r="I30" s="4">
        <f t="shared" si="2"/>
        <v>109900766.66666667</v>
      </c>
      <c r="J30" s="4"/>
    </row>
  </sheetData>
  <mergeCells count="82">
    <mergeCell ref="C30:D30"/>
    <mergeCell ref="E30:F30"/>
    <mergeCell ref="G30:H30"/>
    <mergeCell ref="I30:J30"/>
    <mergeCell ref="C28:D28"/>
    <mergeCell ref="E28:F28"/>
    <mergeCell ref="G28:H28"/>
    <mergeCell ref="I28:J28"/>
    <mergeCell ref="C29:D29"/>
    <mergeCell ref="E29:F29"/>
    <mergeCell ref="G29:H29"/>
    <mergeCell ref="I29:J29"/>
    <mergeCell ref="C26:D26"/>
    <mergeCell ref="E26:F26"/>
    <mergeCell ref="G26:H26"/>
    <mergeCell ref="I26:J26"/>
    <mergeCell ref="C27:D27"/>
    <mergeCell ref="E27:F27"/>
    <mergeCell ref="G27:H27"/>
    <mergeCell ref="I27:J27"/>
    <mergeCell ref="C24:D24"/>
    <mergeCell ref="E24:F24"/>
    <mergeCell ref="G24:H24"/>
    <mergeCell ref="I24:J24"/>
    <mergeCell ref="C25:D25"/>
    <mergeCell ref="E25:F25"/>
    <mergeCell ref="G25:H25"/>
    <mergeCell ref="I25:J25"/>
    <mergeCell ref="C22:D22"/>
    <mergeCell ref="E22:F22"/>
    <mergeCell ref="G22:H22"/>
    <mergeCell ref="I22:J22"/>
    <mergeCell ref="C23:D23"/>
    <mergeCell ref="E23:F23"/>
    <mergeCell ref="G23:H23"/>
    <mergeCell ref="I23:J23"/>
    <mergeCell ref="C21:D21"/>
    <mergeCell ref="E21:F21"/>
    <mergeCell ref="G21:H21"/>
    <mergeCell ref="I21:J21"/>
    <mergeCell ref="A20:J20"/>
    <mergeCell ref="I7:J7"/>
    <mergeCell ref="I8:J8"/>
    <mergeCell ref="I9:J9"/>
    <mergeCell ref="I10:J10"/>
    <mergeCell ref="I11:J11"/>
    <mergeCell ref="G8:H8"/>
    <mergeCell ref="G9:H9"/>
    <mergeCell ref="G10:H10"/>
    <mergeCell ref="G11:H11"/>
    <mergeCell ref="I2:J2"/>
    <mergeCell ref="I3:J3"/>
    <mergeCell ref="I4:J4"/>
    <mergeCell ref="I5:J5"/>
    <mergeCell ref="I6:J6"/>
    <mergeCell ref="E8:F8"/>
    <mergeCell ref="E9:F9"/>
    <mergeCell ref="E10:F10"/>
    <mergeCell ref="E11:F11"/>
    <mergeCell ref="G3:H3"/>
    <mergeCell ref="G4:H4"/>
    <mergeCell ref="G5:H5"/>
    <mergeCell ref="G6:H6"/>
    <mergeCell ref="G7:H7"/>
    <mergeCell ref="C11:D11"/>
    <mergeCell ref="E2:F2"/>
    <mergeCell ref="G2:H2"/>
    <mergeCell ref="E3:F3"/>
    <mergeCell ref="E4:F4"/>
    <mergeCell ref="E5:F5"/>
    <mergeCell ref="E6:F6"/>
    <mergeCell ref="E7:F7"/>
    <mergeCell ref="C5:D5"/>
    <mergeCell ref="C6:D6"/>
    <mergeCell ref="C7:D7"/>
    <mergeCell ref="C8:D8"/>
    <mergeCell ref="C9:D9"/>
    <mergeCell ref="C10:D10"/>
    <mergeCell ref="C2:D2"/>
    <mergeCell ref="C3:D3"/>
    <mergeCell ref="C4:D4"/>
    <mergeCell ref="A1:J1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DeWese, Jacob N.</dc:creator>
  <cp:lastModifiedBy>DeWese, Jacob N.</cp:lastModifiedBy>
  <dcterms:created xsi:type="dcterms:W3CDTF">2026-01-30T19:16:03Z</dcterms:created>
  <dcterms:modified xsi:type="dcterms:W3CDTF">2026-01-30T21:40:30Z</dcterms:modified>
</cp:coreProperties>
</file>